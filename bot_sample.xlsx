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j2026kgb\Desktop\"/>
    </mc:Choice>
  </mc:AlternateContent>
  <xr:revisionPtr revIDLastSave="0" documentId="13_ncr:1_{5EBD2585-460B-4C56-B78E-6F780C62EB04}" xr6:coauthVersionLast="47" xr6:coauthVersionMax="47" xr10:uidLastSave="{00000000-0000-0000-0000-000000000000}"/>
  <bookViews>
    <workbookView xWindow="-108" yWindow="-108" windowWidth="23256" windowHeight="14616" activeTab="1" xr2:uid="{2C0BD4F6-D1DD-461A-9771-EC6B35ED4990}"/>
  </bookViews>
  <sheets>
    <sheet name="SizkBot" sheetId="1" r:id="rId1"/>
    <sheet name="時刻表" sheetId="2" r:id="rId2"/>
    <sheet name="フォーム"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a="1"/>
  <c r="F2" i="2" s="1"/>
  <c r="F3" i="2" s="1"/>
  <c r="C3" i="2"/>
  <c r="C4" i="2"/>
  <c r="C5" i="2"/>
  <c r="C6" i="2"/>
  <c r="C7" i="2"/>
  <c r="C8" i="2"/>
  <c r="C9" i="2"/>
  <c r="C10" i="2"/>
  <c r="C11" i="2"/>
  <c r="C12" i="2"/>
  <c r="C13" i="2"/>
  <c r="C14" i="2"/>
  <c r="C15" i="2"/>
  <c r="C16" i="2"/>
  <c r="C17" i="2"/>
  <c r="C18" i="2"/>
  <c r="C19" i="2"/>
  <c r="C20" i="2"/>
  <c r="C21" i="2"/>
  <c r="C22" i="2"/>
  <c r="C23" i="2"/>
  <c r="C24" i="2"/>
  <c r="C25" i="2"/>
  <c r="C26" i="2"/>
  <c r="C27" i="2"/>
  <c r="C28" i="2"/>
  <c r="C29" i="2"/>
  <c r="C30" i="2"/>
  <c r="C2" i="2"/>
  <c r="F1" i="2"/>
  <c r="H8" i="1"/>
  <c r="G4" i="1"/>
  <c r="H4" i="1" s="1"/>
  <c r="F8" i="1"/>
  <c r="F7" i="1"/>
  <c r="C2" i="1" s="1"/>
  <c r="F5" i="2" l="1"/>
  <c r="G12" i="1"/>
  <c r="G11" i="1"/>
  <c r="H11" i="1" s="1"/>
  <c r="G10" i="1"/>
  <c r="H10" i="1" s="1"/>
  <c r="G9" i="1"/>
  <c r="G8" i="1"/>
  <c r="G7" i="1"/>
  <c r="C5" i="1"/>
  <c r="C19" i="1"/>
  <c r="C11" i="1"/>
  <c r="C3" i="1"/>
  <c r="C18" i="1"/>
  <c r="C10" i="1"/>
  <c r="C17" i="1"/>
  <c r="C9" i="1"/>
  <c r="C13" i="1"/>
  <c r="C16" i="1"/>
  <c r="C8" i="1"/>
  <c r="C15" i="1"/>
  <c r="C7" i="1"/>
  <c r="C14" i="1"/>
  <c r="C6" i="1"/>
  <c r="C20" i="1"/>
  <c r="C12" i="1"/>
  <c r="C4" i="1"/>
  <c r="G6" i="1" l="1"/>
  <c r="F6" i="1" l="1"/>
  <c r="H6" i="1" s="1" a="1"/>
  <c r="H6" i="1" s="1"/>
  <c r="G5" i="1"/>
  <c r="H1" i="1" s="1"/>
  <c r="H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<sst xmlns="http://schemas.openxmlformats.org/spreadsheetml/2006/main" count="48" uniqueCount="47">
  <si>
    <t>月</t>
    <rPh sb="0" eb="1">
      <t>ツキ</t>
    </rPh>
    <phoneticPr fontId="1"/>
  </si>
  <si>
    <t>日</t>
    <rPh sb="0" eb="1">
      <t>ヒ</t>
    </rPh>
    <phoneticPr fontId="1"/>
  </si>
  <si>
    <t>日付</t>
    <rPh sb="0" eb="2">
      <t>ヒヅケ</t>
    </rPh>
    <phoneticPr fontId="1"/>
  </si>
  <si>
    <t>名前</t>
    <rPh sb="0" eb="2">
      <t>ナマエ</t>
    </rPh>
    <phoneticPr fontId="1"/>
  </si>
  <si>
    <t>名前文字数</t>
    <rPh sb="0" eb="2">
      <t>ナマエ</t>
    </rPh>
    <rPh sb="2" eb="5">
      <t>モジスウ</t>
    </rPh>
    <phoneticPr fontId="1"/>
  </si>
  <si>
    <t>処理用</t>
    <rPh sb="0" eb="3">
      <t>ショリヨウ</t>
    </rPh>
    <phoneticPr fontId="1"/>
  </si>
  <si>
    <t>投稿時刻</t>
    <rPh sb="0" eb="2">
      <t>トウコウ</t>
    </rPh>
    <rPh sb="2" eb="4">
      <t>ジコク</t>
    </rPh>
    <phoneticPr fontId="1"/>
  </si>
  <si>
    <t>投稿内容</t>
    <rPh sb="0" eb="4">
      <t>トウコウナイヨウ</t>
    </rPh>
    <phoneticPr fontId="1"/>
  </si>
  <si>
    <t>柊つむぎ</t>
    <rPh sb="0" eb="1">
      <t>ヒイラギ</t>
    </rPh>
    <phoneticPr fontId="1"/>
  </si>
  <si>
    <t>織宮結衣</t>
    <rPh sb="0" eb="4">
      <t>オリミヤユイ</t>
    </rPh>
    <phoneticPr fontId="1"/>
  </si>
  <si>
    <t>吉良小百合</t>
    <rPh sb="0" eb="2">
      <t>キラ</t>
    </rPh>
    <rPh sb="2" eb="5">
      <t>サユリ</t>
    </rPh>
    <phoneticPr fontId="1"/>
  </si>
  <si>
    <t>真野桜子</t>
    <rPh sb="0" eb="2">
      <t>マノ</t>
    </rPh>
    <rPh sb="2" eb="4">
      <t>サクラコ</t>
    </rPh>
    <phoneticPr fontId="1"/>
  </si>
  <si>
    <t>朝比奈乃々</t>
    <rPh sb="0" eb="3">
      <t>アサヒナ</t>
    </rPh>
    <rPh sb="3" eb="4">
      <t>ノ</t>
    </rPh>
    <phoneticPr fontId="1"/>
  </si>
  <si>
    <t>中田ナタリー</t>
    <rPh sb="0" eb="2">
      <t>ナカタ</t>
    </rPh>
    <phoneticPr fontId="1"/>
  </si>
  <si>
    <t>雪城若菜</t>
    <rPh sb="0" eb="2">
      <t>ユキシロ</t>
    </rPh>
    <rPh sb="2" eb="4">
      <t>ワカナ</t>
    </rPh>
    <phoneticPr fontId="1"/>
  </si>
  <si>
    <t>悠木美弥花</t>
    <rPh sb="0" eb="2">
      <t>ユウキ</t>
    </rPh>
    <rPh sb="2" eb="4">
      <t>ミヤ</t>
    </rPh>
    <rPh sb="4" eb="5">
      <t>ハナ</t>
    </rPh>
    <phoneticPr fontId="1"/>
  </si>
  <si>
    <t>西園寺玲</t>
    <rPh sb="0" eb="3">
      <t>サイオンジ</t>
    </rPh>
    <rPh sb="3" eb="4">
      <t>レイ</t>
    </rPh>
    <phoneticPr fontId="1"/>
  </si>
  <si>
    <t>橘直美</t>
    <rPh sb="0" eb="1">
      <t>タチバナ</t>
    </rPh>
    <rPh sb="1" eb="3">
      <t>ナオミ</t>
    </rPh>
    <phoneticPr fontId="1"/>
  </si>
  <si>
    <t>我妻恋</t>
    <rPh sb="0" eb="2">
      <t>アガツマ</t>
    </rPh>
    <rPh sb="2" eb="3">
      <t>コイ</t>
    </rPh>
    <phoneticPr fontId="1"/>
  </si>
  <si>
    <t>水島愛梨</t>
    <rPh sb="0" eb="2">
      <t>ミズシマ</t>
    </rPh>
    <rPh sb="2" eb="4">
      <t>アイリ</t>
    </rPh>
    <phoneticPr fontId="1"/>
  </si>
  <si>
    <t>鬼束千穂</t>
    <rPh sb="0" eb="2">
      <t>オニツカ</t>
    </rPh>
    <rPh sb="2" eb="4">
      <t>チホ</t>
    </rPh>
    <phoneticPr fontId="1"/>
  </si>
  <si>
    <t>シルビアリヒター</t>
    <phoneticPr fontId="1"/>
  </si>
  <si>
    <t>天堂真知</t>
    <rPh sb="0" eb="2">
      <t>テンドウ</t>
    </rPh>
    <rPh sb="2" eb="4">
      <t>マチ</t>
    </rPh>
    <phoneticPr fontId="1"/>
  </si>
  <si>
    <t>広瀬こはる</t>
    <rPh sb="0" eb="2">
      <t>ヒロセ</t>
    </rPh>
    <phoneticPr fontId="1"/>
  </si>
  <si>
    <t>桃井日奈</t>
    <rPh sb="0" eb="2">
      <t>モモイ</t>
    </rPh>
    <rPh sb="2" eb="4">
      <t>ヒナ</t>
    </rPh>
    <phoneticPr fontId="1"/>
  </si>
  <si>
    <t>有村詩音</t>
    <rPh sb="0" eb="2">
      <t>アリムラ</t>
    </rPh>
    <rPh sb="2" eb="4">
      <t>シオン</t>
    </rPh>
    <phoneticPr fontId="1"/>
  </si>
  <si>
    <t>臼井未幸</t>
    <rPh sb="0" eb="2">
      <t>ウスイ</t>
    </rPh>
    <rPh sb="2" eb="4">
      <t>ミユキ</t>
    </rPh>
    <phoneticPr fontId="1"/>
  </si>
  <si>
    <t>明日は何の日、何の日？ですよ。
そわそわそわそわ(´꒳`◍ )三(◍´꒳` )</t>
    <phoneticPr fontId="1"/>
  </si>
  <si>
    <r>
      <t>キャプテンのみなさん、あけましておめでとうございます(◍´꒳` )
昨年は大変お世話になりましたなのですよ |꒳°</t>
    </r>
    <r>
      <rPr>
        <sz val="11"/>
        <color theme="1"/>
        <rFont val="Tahoma"/>
        <family val="2"/>
        <charset val="222"/>
      </rPr>
      <t>๑</t>
    </r>
    <r>
      <rPr>
        <sz val="11"/>
        <color theme="1"/>
        <rFont val="Noto Sans JP"/>
        <family val="3"/>
        <charset val="128"/>
      </rPr>
      <t>)
今年も、オルタナのみんなとオルガル2運営さんとしずくをどうぞよろしくお願いしますですよ(੭ु´꒳`)੭ु⁾⁾
#オルガル2お正月</t>
    </r>
    <rPh sb="34" eb="36">
      <t>サクネン</t>
    </rPh>
    <rPh sb="37" eb="39">
      <t>タイヘン</t>
    </rPh>
    <rPh sb="40" eb="42">
      <t>セワ</t>
    </rPh>
    <rPh sb="60" eb="62">
      <t>コトシ</t>
    </rPh>
    <rPh sb="78" eb="80">
      <t>ウンエイ</t>
    </rPh>
    <rPh sb="95" eb="96">
      <t>ネガ</t>
    </rPh>
    <rPh sb="122" eb="124">
      <t>ショウガツ</t>
    </rPh>
    <phoneticPr fontId="1"/>
  </si>
  <si>
    <r>
      <t>しずくですよ|꒳°</t>
    </r>
    <r>
      <rPr>
        <sz val="11"/>
        <color theme="1"/>
        <rFont val="Tahoma"/>
        <family val="2"/>
        <charset val="222"/>
      </rPr>
      <t>๑</t>
    </r>
    <r>
      <rPr>
        <sz val="11"/>
        <color theme="1"/>
        <rFont val="Noto Sans JP"/>
        <family val="3"/>
        <charset val="128"/>
      </rPr>
      <t>)
明日の0時から8時まで、予定どおりメンテナンスを実施するのですよ。
その間はゲームにログインできなくなっちゃうけれど、まっていてほしいのですよ(੭ु</t>
    </r>
    <r>
      <rPr>
        <sz val="11"/>
        <color theme="1"/>
        <rFont val="Malgun Gothic"/>
        <family val="2"/>
        <charset val="129"/>
      </rPr>
      <t>ㅎ</t>
    </r>
    <r>
      <rPr>
        <sz val="11"/>
        <color theme="1"/>
        <rFont val="Noto Sans JP"/>
        <family val="3"/>
        <charset val="128"/>
      </rPr>
      <t>.</t>
    </r>
    <r>
      <rPr>
        <sz val="11"/>
        <color theme="1"/>
        <rFont val="Malgun Gothic"/>
        <family val="2"/>
        <charset val="129"/>
      </rPr>
      <t>ㅎ</t>
    </r>
    <r>
      <rPr>
        <sz val="11"/>
        <color theme="1"/>
        <rFont val="Noto Sans JP"/>
        <family val="3"/>
        <charset val="128"/>
      </rPr>
      <t>)੭ु⁾⁾</t>
    </r>
    <phoneticPr fontId="1"/>
  </si>
  <si>
    <t>しずくですよー(◍´꒳` ) 
今日は12月25日、ハッピークリスマスですよー
ハピクリなのですよー(੭ु´꒳` )੭ु⁾⁾
#ハッピークリスマス</t>
    <phoneticPr fontId="1"/>
  </si>
  <si>
    <t>時</t>
  </si>
  <si>
    <t>分</t>
  </si>
  <si>
    <t>岡部</t>
  </si>
  <si>
    <t>鴻巣まで(分)</t>
  </si>
  <si>
    <t>タイムスタンプ</t>
    <phoneticPr fontId="1"/>
  </si>
  <si>
    <t>何本後の電車？</t>
    <rPh sb="0" eb="2">
      <t>ナンホン</t>
    </rPh>
    <rPh sb="2" eb="3">
      <t>アト</t>
    </rPh>
    <rPh sb="4" eb="6">
      <t>デンシャ</t>
    </rPh>
    <phoneticPr fontId="1"/>
  </si>
  <si>
    <t>本後</t>
    <rPh sb="0" eb="2">
      <t>ホンアト</t>
    </rPh>
    <phoneticPr fontId="1"/>
  </si>
  <si>
    <t>乗車</t>
    <rPh sb="0" eb="2">
      <t>ジョウシャ</t>
    </rPh>
    <phoneticPr fontId="1"/>
  </si>
  <si>
    <t>到着</t>
    <rPh sb="0" eb="2">
      <t>トウチャク</t>
    </rPh>
    <phoneticPr fontId="1"/>
  </si>
  <si>
    <t>(例として高崎線の岡部→鴻巣の時刻表を使用しています。)</t>
    <rPh sb="1" eb="2">
      <t>レイ</t>
    </rPh>
    <rPh sb="5" eb="8">
      <t>タカサキセン</t>
    </rPh>
    <rPh sb="9" eb="11">
      <t>オカベ</t>
    </rPh>
    <rPh sb="12" eb="14">
      <t>コウノス</t>
    </rPh>
    <rPh sb="15" eb="18">
      <t>ジコクヒョウ</t>
    </rPh>
    <rPh sb="19" eb="21">
      <t>シヨウ</t>
    </rPh>
    <phoneticPr fontId="1"/>
  </si>
  <si>
    <t>違うシート名を使う場合はF1セルの数式を変更する</t>
    <rPh sb="0" eb="1">
      <t>チガ</t>
    </rPh>
    <rPh sb="5" eb="6">
      <t>メイ</t>
    </rPh>
    <rPh sb="7" eb="8">
      <t>ツカ</t>
    </rPh>
    <rPh sb="9" eb="11">
      <t>バアイ</t>
    </rPh>
    <rPh sb="17" eb="19">
      <t>スウシキ</t>
    </rPh>
    <rPh sb="20" eb="22">
      <t>ヘンコウ</t>
    </rPh>
    <phoneticPr fontId="1"/>
  </si>
  <si>
    <t>H1とH2セルの数式の参照範囲は追加したら変える</t>
    <rPh sb="8" eb="10">
      <t>スウシキ</t>
    </rPh>
    <rPh sb="11" eb="13">
      <t>サンショウ</t>
    </rPh>
    <rPh sb="13" eb="15">
      <t>ハンイ</t>
    </rPh>
    <rPh sb="16" eb="18">
      <t>ツイカ</t>
    </rPh>
    <rPh sb="21" eb="22">
      <t>カ</t>
    </rPh>
    <phoneticPr fontId="1"/>
  </si>
  <si>
    <t>と内容を追加変更できます</t>
    <rPh sb="1" eb="3">
      <t>ナイヨウ</t>
    </rPh>
    <rPh sb="4" eb="6">
      <t>ツイカ</t>
    </rPh>
    <rPh sb="6" eb="8">
      <t>ヘンコウ</t>
    </rPh>
    <phoneticPr fontId="1"/>
  </si>
  <si>
    <t>G列の日時は、その投稿時刻を過ぎたら即座に次の時刻に変わるように数式を入れる。</t>
    <rPh sb="1" eb="2">
      <t>レツ</t>
    </rPh>
    <rPh sb="3" eb="5">
      <t>ニチジ</t>
    </rPh>
    <rPh sb="9" eb="11">
      <t>トウコウ</t>
    </rPh>
    <rPh sb="11" eb="13">
      <t>ジコク</t>
    </rPh>
    <rPh sb="14" eb="15">
      <t>ス</t>
    </rPh>
    <rPh sb="18" eb="20">
      <t>ソクザ</t>
    </rPh>
    <rPh sb="21" eb="22">
      <t>ツギ</t>
    </rPh>
    <rPh sb="23" eb="25">
      <t>ジコク</t>
    </rPh>
    <rPh sb="26" eb="27">
      <t>カ</t>
    </rPh>
    <rPh sb="32" eb="34">
      <t>スウシキ</t>
    </rPh>
    <rPh sb="35" eb="36">
      <t>イ</t>
    </rPh>
    <phoneticPr fontId="1"/>
  </si>
  <si>
    <t>(次の投稿時刻を計算するH1セルが変わらないとすべてバグります)</t>
    <rPh sb="1" eb="2">
      <t>ツギ</t>
    </rPh>
    <rPh sb="3" eb="5">
      <t>トウコウ</t>
    </rPh>
    <rPh sb="5" eb="7">
      <t>ジコク</t>
    </rPh>
    <rPh sb="8" eb="10">
      <t>ケイサン</t>
    </rPh>
    <rPh sb="17" eb="18">
      <t>カ</t>
    </rPh>
    <phoneticPr fontId="1"/>
  </si>
  <si>
    <t>Googleフォームで回答すると"フォーム"シートに記録される想定</t>
    <rPh sb="11" eb="13">
      <t>カイトウ</t>
    </rPh>
    <rPh sb="26" eb="28">
      <t>キロク</t>
    </rPh>
    <rPh sb="31" eb="33">
      <t>ソウテイ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</si>
</sst>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84" formatCode="m/d;@"/>
    <numFmt numFmtId="185" formatCode="yy/m/d"/>
    <numFmt numFmtId="187" formatCode="m/d\ h:mm"/>
    <numFmt numFmtId="188" formatCode="h:mm;@"/>
  </numFmts>
  <fonts count="5" x14ac:knownFonts="1">
    <font>
      <sz val="11"/>
      <color theme="1"/>
      <name val="BIZ UDゴシック"/>
      <family val="2"/>
      <charset val="128"/>
    </font>
    <font>
      <sz val="6"/>
      <name val="BIZ UDゴシック"/>
      <family val="2"/>
      <charset val="128"/>
    </font>
    <font>
      <sz val="11"/>
      <color theme="1"/>
      <name val="Tahoma"/>
      <family val="2"/>
      <charset val="222"/>
    </font>
    <font>
      <sz val="11"/>
      <color theme="1"/>
      <name val="Malgun Gothic"/>
      <family val="2"/>
      <charset val="129"/>
    </font>
    <font>
      <sz val="11"/>
      <color theme="1"/>
      <name val="Noto Sans JP"/>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4" fillId="0" borderId="0" xfId="0" applyFont="1">
      <alignment vertical="center"/>
    </xf>
    <xf numFmtId="184" fontId="4" fillId="0" borderId="0" xfId="0" applyNumberFormat="1" applyFont="1">
      <alignment vertical="center"/>
    </xf>
    <xf numFmtId="187" fontId="4" fillId="0" borderId="0" xfId="0" applyNumberFormat="1" applyFont="1">
      <alignment vertical="center"/>
    </xf>
    <xf numFmtId="185" fontId="4" fillId="0" borderId="0" xfId="0" applyNumberFormat="1" applyFont="1">
      <alignment vertical="center"/>
    </xf>
    <xf numFmtId="0" fontId="4" fillId="0" borderId="0" xfId="0" applyFont="1" applyAlignment="1">
      <alignment vertical="center" wrapText="1"/>
    </xf>
    <xf numFmtId="20" fontId="0" fillId="0" borderId="0" xfId="0" applyNumberFormat="1">
      <alignment vertical="center"/>
    </xf>
    <xf numFmtId="22" fontId="0" fillId="0" borderId="0" xfId="0" applyNumberFormat="1">
      <alignment vertical="center"/>
    </xf>
    <xf numFmtId="188"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7AA1-E223-4EDE-B4A2-BA129D8AFFBE}">
  <dimension ref="A1:H24"/>
  <sheetViews>
    <sheetView topLeftCell="A7" workbookViewId="0">
      <selection activeCell="H24" sqref="H24"/>
    </sheetView>
  </sheetViews>
  <sheetFormatPr defaultRowHeight="12.6" x14ac:dyDescent="0.15"/>
  <cols>
    <col min="1" max="2" width="3.77734375" bestFit="1" customWidth="1"/>
    <col min="3" max="3" width="6.77734375" bestFit="1" customWidth="1"/>
    <col min="4" max="4" width="18.33203125" bestFit="1" customWidth="1"/>
    <col min="5" max="5" width="11.77734375" bestFit="1" customWidth="1"/>
    <col min="6" max="6" width="8.5546875" bestFit="1" customWidth="1"/>
    <col min="7" max="7" width="12.77734375" bestFit="1" customWidth="1"/>
    <col min="8" max="8" width="33.33203125" customWidth="1"/>
  </cols>
  <sheetData>
    <row r="1" spans="1:8" ht="18" x14ac:dyDescent="0.15">
      <c r="A1" s="1" t="s">
        <v>0</v>
      </c>
      <c r="B1" s="1" t="s">
        <v>1</v>
      </c>
      <c r="C1" s="1" t="s">
        <v>2</v>
      </c>
      <c r="D1" s="1" t="s">
        <v>3</v>
      </c>
      <c r="E1" s="1" t="s">
        <v>4</v>
      </c>
      <c r="F1" s="1" t="s">
        <v>5</v>
      </c>
      <c r="G1" s="1" t="s">
        <v>6</v>
      </c>
      <c r="H1" s="3">
        <f ca="1">MIN(G4:G12)</f>
        <v>45635.458333333336</v>
      </c>
    </row>
    <row r="2" spans="1:8" ht="18" x14ac:dyDescent="0.15">
      <c r="A2" s="1">
        <v>1</v>
      </c>
      <c r="B2" s="1">
        <v>23</v>
      </c>
      <c r="C2" s="2">
        <f ca="1">DATE(IF(DATE($F$7,A2,B2)&gt;NOW(),$F$7,$F$7+1),A2,B2)</f>
        <v>45680</v>
      </c>
      <c r="D2" s="1" t="s">
        <v>8</v>
      </c>
      <c r="E2" s="1">
        <v>3</v>
      </c>
      <c r="G2" s="1" t="s">
        <v>7</v>
      </c>
      <c r="H2" s="1" t="str">
        <f ca="1">INDEX(H4:H12,MATCH(H1,G4:G12,0))</f>
        <v>おはようございます！
本日は12/9月曜日
第2特訓場が12:00に更新されます！
プレイのし忘れにご注意ください。
#第2特訓場が始マンデイ</v>
      </c>
    </row>
    <row r="3" spans="1:8" ht="18" x14ac:dyDescent="0.15">
      <c r="A3" s="1">
        <v>2</v>
      </c>
      <c r="B3" s="1">
        <v>25</v>
      </c>
      <c r="C3" s="2">
        <f ca="1">DATE(IF(DATE($F$7,A3,B3)&gt;NOW(),$F$7,$F$7+1),A3,B3)</f>
        <v>45713</v>
      </c>
      <c r="D3" s="1" t="s">
        <v>9</v>
      </c>
      <c r="E3" s="1">
        <v>2</v>
      </c>
    </row>
    <row r="4" spans="1:8" ht="18" x14ac:dyDescent="0.15">
      <c r="A4" s="1">
        <v>3</v>
      </c>
      <c r="B4" s="1">
        <v>4</v>
      </c>
      <c r="C4" s="2">
        <f ca="1">DATE(IF(DATE($F$7,A4,B4)&gt;NOW(),$F$7,$F$7+1),A4,B4)</f>
        <v>45720</v>
      </c>
      <c r="D4" s="1" t="s">
        <v>10</v>
      </c>
      <c r="E4" s="1">
        <v>3</v>
      </c>
      <c r="G4" s="3">
        <f ca="1">IF(OR(WEEKDAY(TODAY(),3),NOW()&gt;TODAY()+TIME(11,0,0)),TODAY()+7-WEEKDAY(TODAY(),3),TODAY())+TIME(11,0,0)</f>
        <v>45635.458333333336</v>
      </c>
      <c r="H4" s="1" t="str">
        <f ca="1">"おはようございます！"&amp;CHAR(10)&amp;
CHAR(10)&amp;
"本日は"&amp;TEXT(G4,"M/d")&amp;"月曜日"&amp;CHAR(10)&amp;
"第2特訓場が12:00に更新されます！"&amp;CHAR(10)&amp;
"プレイのし忘れにご注意ください。"&amp;CHAR(10)&amp;
"#第2特訓場が始マンデイ"</f>
        <v>おはようございます！
本日は12/9月曜日
第2特訓場が12:00に更新されます！
プレイのし忘れにご注意ください。
#第2特訓場が始マンデイ</v>
      </c>
    </row>
    <row r="5" spans="1:8" ht="36" x14ac:dyDescent="0.15">
      <c r="A5" s="1">
        <v>3</v>
      </c>
      <c r="B5" s="1">
        <v>27</v>
      </c>
      <c r="C5" s="2">
        <f ca="1">DATE(IF(DATE($F$7,A5,B5)&gt;NOW(),$F$7,$F$7+1),A5,B5)</f>
        <v>45743</v>
      </c>
      <c r="D5" s="1" t="s">
        <v>11</v>
      </c>
      <c r="E5" s="1">
        <v>2</v>
      </c>
      <c r="G5" s="3">
        <f ca="1">IF(G6-TIME(4,0,0)&gt;NOW(),SMALL(C2:C20,1),SMALL(C2:C20,2))-TIME(4,0,0)</f>
        <v>45640.833333333336</v>
      </c>
      <c r="H5" s="5" t="s">
        <v>27</v>
      </c>
    </row>
    <row r="6" spans="1:8" ht="18" x14ac:dyDescent="0.15">
      <c r="A6" s="1">
        <v>4</v>
      </c>
      <c r="B6" s="1">
        <v>18</v>
      </c>
      <c r="C6" s="2">
        <f ca="1">DATE(IF(DATE($F$7,A6,B6)&gt;NOW(),$F$7,$F$7+1),A6,B6)</f>
        <v>45765</v>
      </c>
      <c r="D6" s="1" t="s">
        <v>12</v>
      </c>
      <c r="E6" s="1">
        <v>2</v>
      </c>
      <c r="F6" s="1">
        <f ca="1">MATCH(INT(G6),C2:C20,0)</f>
        <v>19</v>
      </c>
      <c r="G6" s="3">
        <f ca="1">MIN(C:C)</f>
        <v>45641</v>
      </c>
      <c r="H6" s="1" t="str" cm="1">
        <f t="array" aca="1" ref="H6" ca="1">"しずくですよ|꒳°๑)"&amp;CHAR(10)&amp;
"今日は"&amp;IF(F6=15,LEFT(INDEX(D2:D20,F6),INDEX(E2:E20,F6)),RIGHT(INDEX(D2:D20,F6),INDEX(E2:E20,F6)))&amp;"ちゃんのお誕生日ですよ！みんなで一緒にお祝いするですよ(◍´꒳` )ﾉ"&amp;CHAR(10)&amp;
"みんなのお祝い投稿お待ちしているのですよー！"&amp;CHAR(10)&amp;
IF(F6=15,LEFT(INDEX(D2:D20,F6),INDEX(E2:E20,F6)),RIGHT(INDEX(D2:D20,F6),INDEX(E2:E20,F6)))&amp;"ちゃんおめでとですよ(◍´꒳` )ﾉﾉﾞ"&amp;CHAR(10)&amp;
"#"&amp;INDEX(D2:D20,F6)&amp;"生誕祭"&amp;YEAR(G6)</f>
        <v>しずくですよ|꒳°๑)
今日は未幸ちゃんのお誕生日ですよ！みんなで一緒にお祝いするですよ(◍´꒳` )ﾉ
みんなのお祝い投稿お待ちしているのですよー！
未幸ちゃんおめでとですよ(◍´꒳` )ﾉﾉﾞ
#臼井未幸生誕祭2024</v>
      </c>
    </row>
    <row r="7" spans="1:8" ht="60" customHeight="1" x14ac:dyDescent="0.15">
      <c r="A7" s="1">
        <v>4</v>
      </c>
      <c r="B7" s="1">
        <v>26</v>
      </c>
      <c r="C7" s="2">
        <f ca="1">DATE(IF(DATE($F$7,A7,B7)&gt;NOW(),$F$7,$F$7+1),A7,B7)</f>
        <v>45773</v>
      </c>
      <c r="D7" s="1" t="s">
        <v>13</v>
      </c>
      <c r="E7" s="1">
        <v>4</v>
      </c>
      <c r="F7" s="1">
        <f ca="1">YEAR(TODAY())</f>
        <v>2024</v>
      </c>
      <c r="G7" s="3">
        <f ca="1">DATE(IF(DATE($F$7,1,1)+TIME(0,10,0)&gt;NOW(),$F$7,$F$7+1),1,1)+TIME(0,10,0)</f>
        <v>45658.006944444445</v>
      </c>
      <c r="H7" s="5" t="s">
        <v>28</v>
      </c>
    </row>
    <row r="8" spans="1:8" ht="18" x14ac:dyDescent="0.15">
      <c r="A8" s="1">
        <v>5</v>
      </c>
      <c r="B8" s="1">
        <v>19</v>
      </c>
      <c r="C8" s="2">
        <f ca="1">DATE(IF(DATE($F$7,A8,B8)&gt;NOW(),$F$7,$F$7+1),A8,B8)</f>
        <v>45796</v>
      </c>
      <c r="D8" s="1" t="s">
        <v>14</v>
      </c>
      <c r="E8" s="1">
        <v>2</v>
      </c>
      <c r="F8" s="4">
        <f>DATE(2016,7,20)</f>
        <v>42571</v>
      </c>
      <c r="G8" s="3">
        <f ca="1">DATE(IF(DATE($F$7,1,20)+TIME(12,0,0)&gt;NOW(),$F$7,$F$7+1),1,20)+TIME(12,0,0)</f>
        <v>45677.5</v>
      </c>
      <c r="H8" s="1" t="str">
        <f ca="1">"しずくですよ(◍´꒳` )ﾉﾉﾞ"&amp;CHAR(10)&amp;
DATEDIF(F8,TODAY(),"Y")&amp;".5周年おめでとうなのですよ(੭ु ›ω‹ )੭ु⁾⁾♡"&amp;CHAR(10)&amp;
"みんなのお祝い投稿お待ちしているのですよー！"</f>
        <v>しずくですよ(◍´꒳` )ﾉﾉﾞ
8.5周年おめでとうなのですよ(੭ु ›ω‹ )੭ु⁾⁾♡
みんなのお祝い投稿お待ちしているのですよー！</v>
      </c>
    </row>
    <row r="9" spans="1:8" ht="60" customHeight="1" x14ac:dyDescent="0.15">
      <c r="A9" s="1">
        <v>5</v>
      </c>
      <c r="B9" s="1">
        <v>20</v>
      </c>
      <c r="C9" s="2">
        <f ca="1">DATE(IF(DATE($F$7,A9,B9)&gt;NOW(),$F$7,$F$7+1),A9,B9)</f>
        <v>45797</v>
      </c>
      <c r="D9" s="1" t="s">
        <v>15</v>
      </c>
      <c r="E9" s="1">
        <v>3</v>
      </c>
      <c r="G9" s="3">
        <f ca="1">DATE(IF(DATE($F$7,7,19)+TIME(22,0,0)&gt;NOW(),$F$7,$F$7+1),7,19)+TIME(22,0,0)</f>
        <v>45857.916666666664</v>
      </c>
      <c r="H9" s="5" t="s">
        <v>29</v>
      </c>
    </row>
    <row r="10" spans="1:8" ht="18" x14ac:dyDescent="0.15">
      <c r="A10" s="1">
        <v>6</v>
      </c>
      <c r="B10" s="1">
        <v>19</v>
      </c>
      <c r="C10" s="2">
        <f ca="1">DATE(IF(DATE($F$7,A10,B10)&gt;NOW(),$F$7,$F$7+1),A10,B10)</f>
        <v>45827</v>
      </c>
      <c r="D10" s="1" t="s">
        <v>16</v>
      </c>
      <c r="E10" s="1">
        <v>1</v>
      </c>
      <c r="G10" s="3">
        <f ca="1">DATE(IF(DATE($F$7,7,20)+TIME(8,0,0)&gt;NOW(),$F$7,$F$7+1),7,20)+TIME(8,0,0)</f>
        <v>45858.333333333336</v>
      </c>
      <c r="H10" s="1" t="str">
        <f ca="1">"しずくですよ|꒳°๑)"&amp;CHAR(10)&amp;
"メンテがあけましたですよ└(´꒳`◍ )」ぱかっ"&amp;CHAR(10)&amp;
YEAR(G10)-2016&amp;"周年おめでとうなのですよー！"</f>
        <v>しずくですよ|꒳°๑)
メンテがあけましたですよ└(´꒳`◍ )」ぱかっ
9周年おめでとうなのですよー！</v>
      </c>
    </row>
    <row r="11" spans="1:8" ht="18" x14ac:dyDescent="0.15">
      <c r="A11" s="1">
        <v>7</v>
      </c>
      <c r="B11" s="1">
        <v>10</v>
      </c>
      <c r="C11" s="2">
        <f ca="1">DATE(IF(DATE($F$7,A11,B11)&gt;NOW(),$F$7,$F$7+1),A11,B11)</f>
        <v>45848</v>
      </c>
      <c r="D11" s="1" t="s">
        <v>17</v>
      </c>
      <c r="E11" s="1">
        <v>2</v>
      </c>
      <c r="G11" s="3">
        <f ca="1">DATE(IF(DATE($F$7,7,20)+TIME(12,0,0)&gt;NOW(),$F$7,$F$7+1),7,20)+TIME(12,0,0)</f>
        <v>45858.5</v>
      </c>
      <c r="H11" s="1" t="str">
        <f ca="1">"しずくですよ(◍´꒳` )"&amp;CHAR(10)&amp;
"キャプテンの皆様に支えられて今日でオルガル2は"&amp;YEAR(G11)-2016&amp;"周年なのですよー！(੭ु ›ω‹ )੭ु⁾⁾♡"&amp;CHAR(10)&amp;
"#オルガル"&amp;YEAR(G11)-2016&amp;"周年 でみんなの投稿お待ちしているのですよー！"</f>
        <v>しずくですよ(◍´꒳` )
キャプテンの皆様に支えられて今日でオルガル2は9周年なのですよー！(੭ु ›ω‹ )੭ु⁾⁾♡
#オルガル9周年 でみんなの投稿お待ちしているのですよー！</v>
      </c>
    </row>
    <row r="12" spans="1:8" ht="60" customHeight="1" x14ac:dyDescent="0.15">
      <c r="A12" s="1">
        <v>7</v>
      </c>
      <c r="B12" s="1">
        <v>25</v>
      </c>
      <c r="C12" s="2">
        <f ca="1">DATE(IF(DATE($F$7,A12,B12)&gt;NOW(),$F$7,$F$7+1),A12,B12)</f>
        <v>45863</v>
      </c>
      <c r="D12" s="1" t="s">
        <v>18</v>
      </c>
      <c r="E12" s="1">
        <v>1</v>
      </c>
      <c r="G12" s="3">
        <f ca="1">DATE(IF(DATE($F$7,12,25)+TIME(18,0,0)&gt;NOW(),$F$7,$F$7+1),12,25)+TIME(18,0,0)</f>
        <v>45651.75</v>
      </c>
      <c r="H12" s="5" t="s">
        <v>30</v>
      </c>
    </row>
    <row r="13" spans="1:8" ht="18" x14ac:dyDescent="0.15">
      <c r="A13" s="1">
        <v>8</v>
      </c>
      <c r="B13" s="1">
        <v>5</v>
      </c>
      <c r="C13" s="2">
        <f ca="1">DATE(IF(DATE($F$7,A13,B13)&gt;NOW(),$F$7,$F$7+1),A13,B13)</f>
        <v>45874</v>
      </c>
      <c r="D13" s="1" t="s">
        <v>19</v>
      </c>
      <c r="E13" s="1">
        <v>2</v>
      </c>
    </row>
    <row r="14" spans="1:8" ht="18" x14ac:dyDescent="0.15">
      <c r="A14" s="1">
        <v>8</v>
      </c>
      <c r="B14" s="1">
        <v>24</v>
      </c>
      <c r="C14" s="2">
        <f ca="1">DATE(IF(DATE($F$7,A14,B14)&gt;NOW(),$F$7,$F$7+1),A14,B14)</f>
        <v>45893</v>
      </c>
      <c r="D14" s="1" t="s">
        <v>20</v>
      </c>
      <c r="E14" s="1">
        <v>2</v>
      </c>
    </row>
    <row r="15" spans="1:8" ht="18" x14ac:dyDescent="0.15">
      <c r="A15" s="1">
        <v>9</v>
      </c>
      <c r="B15" s="1">
        <v>15</v>
      </c>
      <c r="C15" s="2">
        <f ca="1">DATE(IF(DATE($F$7,A15,B15)&gt;NOW(),$F$7,$F$7+1),A15,B15)</f>
        <v>45915</v>
      </c>
      <c r="D15" s="1" t="s">
        <v>21</v>
      </c>
      <c r="E15" s="1">
        <v>4</v>
      </c>
    </row>
    <row r="16" spans="1:8" ht="18" x14ac:dyDescent="0.15">
      <c r="A16" s="1">
        <v>10</v>
      </c>
      <c r="B16" s="1">
        <v>13</v>
      </c>
      <c r="C16" s="2">
        <f ca="1">DATE(IF(DATE($F$7,A16,B16)&gt;NOW(),$F$7,$F$7+1),A16,B16)</f>
        <v>45943</v>
      </c>
      <c r="D16" s="1" t="s">
        <v>22</v>
      </c>
      <c r="E16" s="1">
        <v>2</v>
      </c>
    </row>
    <row r="17" spans="1:8" ht="18" x14ac:dyDescent="0.15">
      <c r="A17" s="1">
        <v>11</v>
      </c>
      <c r="B17" s="1">
        <v>7</v>
      </c>
      <c r="C17" s="2">
        <f ca="1">DATE(IF(DATE($F$7,A17,B17)&gt;NOW(),$F$7,$F$7+1),A17,B17)</f>
        <v>45968</v>
      </c>
      <c r="D17" s="1" t="s">
        <v>23</v>
      </c>
      <c r="E17" s="1">
        <v>3</v>
      </c>
    </row>
    <row r="18" spans="1:8" ht="18" x14ac:dyDescent="0.15">
      <c r="A18" s="1">
        <v>11</v>
      </c>
      <c r="B18" s="1">
        <v>16</v>
      </c>
      <c r="C18" s="2">
        <f ca="1">DATE(IF(DATE($F$7,A18,B18)&gt;NOW(),$F$7,$F$7+1),A18,B18)</f>
        <v>45977</v>
      </c>
      <c r="D18" s="1" t="s">
        <v>24</v>
      </c>
      <c r="E18" s="1">
        <v>2</v>
      </c>
    </row>
    <row r="19" spans="1:8" ht="18" x14ac:dyDescent="0.15">
      <c r="A19" s="1">
        <v>12</v>
      </c>
      <c r="B19" s="1">
        <v>3</v>
      </c>
      <c r="C19" s="2">
        <f ca="1">DATE(IF(DATE($F$7,A19,B19)&gt;NOW(),$F$7,$F$7+1),A19,B19)</f>
        <v>45994</v>
      </c>
      <c r="D19" s="1" t="s">
        <v>25</v>
      </c>
      <c r="E19" s="1">
        <v>2</v>
      </c>
    </row>
    <row r="20" spans="1:8" ht="18" x14ac:dyDescent="0.15">
      <c r="A20" s="1">
        <v>12</v>
      </c>
      <c r="B20" s="1">
        <v>15</v>
      </c>
      <c r="C20" s="2">
        <f ca="1">DATE(IF(DATE($F$7,A20,B20)&gt;NOW(),$F$7,$F$7+1),A20,B20)</f>
        <v>45641</v>
      </c>
      <c r="D20" s="1" t="s">
        <v>26</v>
      </c>
      <c r="E20" s="1">
        <v>2</v>
      </c>
    </row>
    <row r="21" spans="1:8" x14ac:dyDescent="0.15">
      <c r="G21" t="s">
        <v>6</v>
      </c>
      <c r="H21" t="s">
        <v>43</v>
      </c>
    </row>
    <row r="22" spans="1:8" x14ac:dyDescent="0.15">
      <c r="H22" t="s">
        <v>42</v>
      </c>
    </row>
    <row r="23" spans="1:8" x14ac:dyDescent="0.15">
      <c r="H23" t="s">
        <v>44</v>
      </c>
    </row>
    <row r="24" spans="1:8" x14ac:dyDescent="0.15">
      <c r="H24" t="s">
        <v>45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27B21-EAE0-4B63-8FFF-FA6913495E9D}">
  <dimension ref="A1:G30"/>
  <sheetViews>
    <sheetView tabSelected="1" workbookViewId="0">
      <selection activeCell="F9" sqref="F9"/>
    </sheetView>
  </sheetViews>
  <sheetFormatPr defaultRowHeight="12.6" x14ac:dyDescent="0.15"/>
  <cols>
    <col min="4" max="4" width="13.88671875" bestFit="1" customWidth="1"/>
  </cols>
  <sheetData>
    <row r="1" spans="1:7" x14ac:dyDescent="0.15">
      <c r="A1" t="s">
        <v>31</v>
      </c>
      <c r="B1" t="s">
        <v>32</v>
      </c>
      <c r="C1" t="s">
        <v>33</v>
      </c>
      <c r="D1" t="s">
        <v>34</v>
      </c>
      <c r="F1">
        <f>IFERROR(INDEX(フォーム!B:B,MATCH(MAX(フォーム!A:A),フォーム!A:A,0)),1)</f>
        <v>1</v>
      </c>
      <c r="G1" t="s">
        <v>37</v>
      </c>
    </row>
    <row r="2" spans="1:7" x14ac:dyDescent="0.15">
      <c r="A2">
        <v>11</v>
      </c>
      <c r="B2">
        <v>17</v>
      </c>
      <c r="C2" s="6">
        <f>TIME(A2,B2,0)</f>
        <v>0.47013888888888888</v>
      </c>
      <c r="D2">
        <v>32</v>
      </c>
      <c r="F2" s="8" cm="1">
        <f t="array" aca="1" ref="F2" ca="1">INDEX(C:C,IFERROR(MATCH(NOW()-TODAY(),C:C,1),1)+F1)</f>
        <v>0</v>
      </c>
      <c r="G2" t="s">
        <v>38</v>
      </c>
    </row>
    <row r="3" spans="1:7" x14ac:dyDescent="0.15">
      <c r="A3">
        <v>11</v>
      </c>
      <c r="B3">
        <v>38</v>
      </c>
      <c r="C3" s="6">
        <f t="shared" ref="C3:C30" si="0">TIME(A3,B3,0)</f>
        <v>0.48472222222222222</v>
      </c>
      <c r="D3">
        <v>29</v>
      </c>
      <c r="F3" s="8" t="str">
        <f ca="1">IFERROR(F2+TIME(0,INDEX(D:D,MATCH(F2,C:C,0)),0),"")</f>
        <v/>
      </c>
      <c r="G3" t="s">
        <v>39</v>
      </c>
    </row>
    <row r="4" spans="1:7" x14ac:dyDescent="0.15">
      <c r="A4">
        <v>11</v>
      </c>
      <c r="B4">
        <v>55</v>
      </c>
      <c r="C4" s="6">
        <f t="shared" si="0"/>
        <v>0.49652777777777779</v>
      </c>
      <c r="D4">
        <v>33</v>
      </c>
    </row>
    <row r="5" spans="1:7" x14ac:dyDescent="0.15">
      <c r="A5">
        <v>12</v>
      </c>
      <c r="B5">
        <v>16</v>
      </c>
      <c r="C5" s="6">
        <f t="shared" si="0"/>
        <v>0.51111111111111107</v>
      </c>
      <c r="D5">
        <v>33</v>
      </c>
      <c r="F5" t="str">
        <f ca="1">TEXT(F2,"H:mm")&amp;"の電車で帰ります。"&amp;CHAR(10)&amp;TEXT(F3,"H:mm")&amp;"に着くよ"</f>
        <v>0:00の電車で帰ります。
に着くよ</v>
      </c>
    </row>
    <row r="6" spans="1:7" x14ac:dyDescent="0.15">
      <c r="A6">
        <v>12</v>
      </c>
      <c r="B6">
        <v>38</v>
      </c>
      <c r="C6" s="6">
        <f t="shared" si="0"/>
        <v>0.52638888888888891</v>
      </c>
      <c r="D6">
        <v>29</v>
      </c>
    </row>
    <row r="7" spans="1:7" x14ac:dyDescent="0.15">
      <c r="A7">
        <v>12</v>
      </c>
      <c r="B7">
        <v>55</v>
      </c>
      <c r="C7" s="6">
        <f t="shared" si="0"/>
        <v>0.53819444444444442</v>
      </c>
      <c r="D7">
        <v>33</v>
      </c>
      <c r="F7" t="s">
        <v>40</v>
      </c>
    </row>
    <row r="8" spans="1:7" x14ac:dyDescent="0.15">
      <c r="A8">
        <v>13</v>
      </c>
      <c r="B8">
        <v>16</v>
      </c>
      <c r="C8" s="6">
        <f t="shared" si="0"/>
        <v>0.55277777777777781</v>
      </c>
      <c r="D8">
        <v>34</v>
      </c>
      <c r="F8" t="s">
        <v>46</v>
      </c>
    </row>
    <row r="9" spans="1:7" x14ac:dyDescent="0.15">
      <c r="A9">
        <v>13</v>
      </c>
      <c r="B9">
        <v>38</v>
      </c>
      <c r="C9" s="6">
        <f t="shared" si="0"/>
        <v>0.56805555555555554</v>
      </c>
      <c r="D9">
        <v>29</v>
      </c>
      <c r="F9" t="s">
        <v>41</v>
      </c>
    </row>
    <row r="10" spans="1:7" x14ac:dyDescent="0.15">
      <c r="A10">
        <v>13</v>
      </c>
      <c r="B10">
        <v>52</v>
      </c>
      <c r="C10" s="6">
        <f t="shared" si="0"/>
        <v>0.57777777777777772</v>
      </c>
      <c r="D10">
        <v>33</v>
      </c>
    </row>
    <row r="11" spans="1:7" x14ac:dyDescent="0.15">
      <c r="A11">
        <v>14</v>
      </c>
      <c r="B11">
        <v>13</v>
      </c>
      <c r="C11" s="6">
        <f t="shared" si="0"/>
        <v>0.59236111111111112</v>
      </c>
      <c r="D11">
        <v>38</v>
      </c>
    </row>
    <row r="12" spans="1:7" x14ac:dyDescent="0.15">
      <c r="A12">
        <v>14</v>
      </c>
      <c r="B12">
        <v>38</v>
      </c>
      <c r="C12" s="6">
        <f t="shared" si="0"/>
        <v>0.60972222222222228</v>
      </c>
      <c r="D12">
        <v>29</v>
      </c>
    </row>
    <row r="13" spans="1:7" x14ac:dyDescent="0.15">
      <c r="A13">
        <v>14</v>
      </c>
      <c r="B13">
        <v>53</v>
      </c>
      <c r="C13" s="6">
        <f t="shared" si="0"/>
        <v>0.62013888888888891</v>
      </c>
      <c r="D13">
        <v>33</v>
      </c>
    </row>
    <row r="14" spans="1:7" x14ac:dyDescent="0.15">
      <c r="A14">
        <v>15</v>
      </c>
      <c r="B14">
        <v>16</v>
      </c>
      <c r="C14" s="6">
        <f t="shared" si="0"/>
        <v>0.63611111111111107</v>
      </c>
      <c r="D14">
        <v>33</v>
      </c>
    </row>
    <row r="15" spans="1:7" x14ac:dyDescent="0.15">
      <c r="A15">
        <v>15</v>
      </c>
      <c r="B15">
        <v>38</v>
      </c>
      <c r="C15" s="6">
        <f t="shared" si="0"/>
        <v>0.65138888888888891</v>
      </c>
      <c r="D15">
        <v>29</v>
      </c>
    </row>
    <row r="16" spans="1:7" x14ac:dyDescent="0.15">
      <c r="A16">
        <v>15</v>
      </c>
      <c r="B16">
        <v>54</v>
      </c>
      <c r="C16" s="6">
        <f t="shared" si="0"/>
        <v>0.66249999999999998</v>
      </c>
      <c r="D16">
        <v>35</v>
      </c>
    </row>
    <row r="17" spans="1:4" x14ac:dyDescent="0.15">
      <c r="A17">
        <v>16</v>
      </c>
      <c r="B17">
        <v>19</v>
      </c>
      <c r="C17" s="6">
        <f t="shared" si="0"/>
        <v>0.67986111111111114</v>
      </c>
      <c r="D17">
        <v>33</v>
      </c>
    </row>
    <row r="18" spans="1:4" x14ac:dyDescent="0.15">
      <c r="A18">
        <v>16</v>
      </c>
      <c r="B18">
        <v>34</v>
      </c>
      <c r="C18" s="6">
        <f t="shared" si="0"/>
        <v>0.69027777777777777</v>
      </c>
      <c r="D18">
        <v>33</v>
      </c>
    </row>
    <row r="19" spans="1:4" x14ac:dyDescent="0.15">
      <c r="A19">
        <v>16</v>
      </c>
      <c r="B19">
        <v>50</v>
      </c>
      <c r="C19" s="6">
        <f t="shared" si="0"/>
        <v>0.70138888888888884</v>
      </c>
      <c r="D19">
        <v>32</v>
      </c>
    </row>
    <row r="20" spans="1:4" x14ac:dyDescent="0.15">
      <c r="A20">
        <v>17</v>
      </c>
      <c r="B20">
        <v>9</v>
      </c>
      <c r="C20" s="6">
        <f t="shared" si="0"/>
        <v>0.71458333333333335</v>
      </c>
      <c r="D20">
        <v>34</v>
      </c>
    </row>
    <row r="21" spans="1:4" x14ac:dyDescent="0.15">
      <c r="A21">
        <v>17</v>
      </c>
      <c r="B21">
        <v>23</v>
      </c>
      <c r="C21" s="6">
        <f t="shared" si="0"/>
        <v>0.72430555555555554</v>
      </c>
      <c r="D21">
        <v>34</v>
      </c>
    </row>
    <row r="22" spans="1:4" x14ac:dyDescent="0.15">
      <c r="A22">
        <v>17</v>
      </c>
      <c r="B22">
        <v>37</v>
      </c>
      <c r="C22" s="6">
        <f t="shared" si="0"/>
        <v>0.73402777777777772</v>
      </c>
      <c r="D22">
        <v>33</v>
      </c>
    </row>
    <row r="23" spans="1:4" x14ac:dyDescent="0.15">
      <c r="A23">
        <v>18</v>
      </c>
      <c r="B23">
        <v>1</v>
      </c>
      <c r="C23" s="6">
        <f t="shared" si="0"/>
        <v>0.75069444444444444</v>
      </c>
      <c r="D23">
        <v>32</v>
      </c>
    </row>
    <row r="24" spans="1:4" x14ac:dyDescent="0.15">
      <c r="A24">
        <v>18</v>
      </c>
      <c r="B24">
        <v>24</v>
      </c>
      <c r="C24" s="6">
        <f t="shared" si="0"/>
        <v>0.76666666666666672</v>
      </c>
      <c r="D24">
        <v>36</v>
      </c>
    </row>
    <row r="25" spans="1:4" x14ac:dyDescent="0.15">
      <c r="A25">
        <v>18</v>
      </c>
      <c r="B25">
        <v>38</v>
      </c>
      <c r="C25" s="6">
        <f t="shared" si="0"/>
        <v>0.77638888888888891</v>
      </c>
      <c r="D25">
        <v>34</v>
      </c>
    </row>
    <row r="26" spans="1:4" x14ac:dyDescent="0.15">
      <c r="A26">
        <v>18</v>
      </c>
      <c r="B26">
        <v>55</v>
      </c>
      <c r="C26" s="6">
        <f t="shared" si="0"/>
        <v>0.78819444444444442</v>
      </c>
      <c r="D26">
        <v>32</v>
      </c>
    </row>
    <row r="27" spans="1:4" x14ac:dyDescent="0.15">
      <c r="A27">
        <v>19</v>
      </c>
      <c r="B27">
        <v>11</v>
      </c>
      <c r="C27" s="6">
        <f t="shared" si="0"/>
        <v>0.7993055555555556</v>
      </c>
      <c r="D27">
        <v>33</v>
      </c>
    </row>
    <row r="28" spans="1:4" x14ac:dyDescent="0.15">
      <c r="A28">
        <v>19</v>
      </c>
      <c r="B28">
        <v>32</v>
      </c>
      <c r="C28" s="6">
        <f t="shared" si="0"/>
        <v>0.81388888888888888</v>
      </c>
      <c r="D28">
        <v>33</v>
      </c>
    </row>
    <row r="29" spans="1:4" x14ac:dyDescent="0.15">
      <c r="A29">
        <v>19</v>
      </c>
      <c r="B29">
        <v>41</v>
      </c>
      <c r="C29" s="6">
        <f t="shared" si="0"/>
        <v>0.82013888888888886</v>
      </c>
      <c r="D29">
        <v>32</v>
      </c>
    </row>
    <row r="30" spans="1:4" x14ac:dyDescent="0.15">
      <c r="A30">
        <v>19</v>
      </c>
      <c r="B30">
        <v>54</v>
      </c>
      <c r="C30" s="6">
        <f t="shared" si="0"/>
        <v>0.82916666666666672</v>
      </c>
      <c r="D30">
        <v>34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C33F-B655-4CFF-94FD-AA76AD949272}">
  <dimension ref="A1:B2"/>
  <sheetViews>
    <sheetView workbookViewId="0">
      <selection activeCell="A2" sqref="A2"/>
    </sheetView>
  </sheetViews>
  <sheetFormatPr defaultRowHeight="12.6" x14ac:dyDescent="0.15"/>
  <cols>
    <col min="1" max="1" width="17.21875" bestFit="1" customWidth="1"/>
  </cols>
  <sheetData>
    <row r="1" spans="1:2" x14ac:dyDescent="0.15">
      <c r="A1" t="s">
        <v>35</v>
      </c>
      <c r="B1" t="s">
        <v>36</v>
      </c>
    </row>
    <row r="2" spans="1:2" x14ac:dyDescent="0.15">
      <c r="A2" s="7"/>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SizkBot</vt:lpstr>
      <vt:lpstr>時刻表</vt:lpstr>
      <vt:lpstr>フォーム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Endou Takumi</dc:creator>
  <cp:lastModifiedBy>Endou Takumi</cp:lastModifiedBy>
  <dcterms:created xsi:type="dcterms:W3CDTF">2024-12-04T13:07:25Z</dcterms:created>
  <dcterms:modified xsi:type="dcterms:W3CDTF">2024-12-04T14:56:11Z</dcterms:modified>
</cp:coreProperties>
</file>